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rafaella_antunes_institutojef_org_br/Documents/Documentos/"/>
    </mc:Choice>
  </mc:AlternateContent>
  <xr:revisionPtr revIDLastSave="0" documentId="8_{BDECEF82-FB98-4F86-971A-AD66037B42DE}" xr6:coauthVersionLast="47" xr6:coauthVersionMax="47" xr10:uidLastSave="{00000000-0000-0000-0000-000000000000}"/>
  <bookViews>
    <workbookView xWindow="2120" yWindow="2120" windowWidth="14400" windowHeight="7810" xr2:uid="{00000000-000D-0000-FFFF-FFFF00000000}"/>
  </bookViews>
  <sheets>
    <sheet name="Painel" sheetId="1" r:id="rId1"/>
    <sheet name="Serie_Oficial" sheetId="2" r:id="rId2"/>
    <sheet name="SARIMA_Oficial" sheetId="3" r:id="rId3"/>
  </sheets>
  <calcPr calcId="0" refMode="R1C1" iterateCount="0" calcOnSave="0" concurrentCalc="0"/>
</workbook>
</file>

<file path=xl/sharedStrings.xml><?xml version="1.0" encoding="utf-8"?>
<sst xmlns="http://schemas.openxmlformats.org/spreadsheetml/2006/main" count="42" uniqueCount="39">
  <si>
    <t>O Público da Sala São Paulo em Números — Série Oficial</t>
  </si>
  <si>
    <t>Esta versão usa exatamente os números informados pelo usuário na imagem enviada. A série abaixo passa a ser a referência oficial para análise e SARIMA.</t>
  </si>
  <si>
    <t>Indicador</t>
  </si>
  <si>
    <t>Resultado</t>
  </si>
  <si>
    <t>Leituras principais</t>
  </si>
  <si>
    <t>Público total em 2019</t>
  </si>
  <si>
    <t>Em 2020, a pandemia derrubou o público em -70.8% frente a 2019.</t>
  </si>
  <si>
    <t>Público total em 2020</t>
  </si>
  <si>
    <t>Em 2024, o público já estava 5.9% acima do nível de 2019.</t>
  </si>
  <si>
    <t>Público total em 2024</t>
  </si>
  <si>
    <t>Em 2025, houve leve queda de 3.5% em relação a 2024.</t>
  </si>
  <si>
    <t>Público total em 2025</t>
  </si>
  <si>
    <t>A média de 2019 a 2025 foi 225.377.7 pessoas.</t>
  </si>
  <si>
    <t>Queda de 2020 vs 2019</t>
  </si>
  <si>
    <t>A mediana de 2019 a 2025 foi 248.020.0 pessoas.</t>
  </si>
  <si>
    <t>Recuperação de 2024 vs 2019</t>
  </si>
  <si>
    <t>O SARIMAX estimou um efeito de -48.4% para a intervenção da pandemia.</t>
  </si>
  <si>
    <t>Variação de 2025 vs 2024</t>
  </si>
  <si>
    <t>A previsão exploratória para 2026 (ano cheio) é de cerca de 227.870 pessoas.</t>
  </si>
  <si>
    <t>Média 2019–2025</t>
  </si>
  <si>
    <t>Mediana 2019–2025</t>
  </si>
  <si>
    <t>Ano</t>
  </si>
  <si>
    <t>Público</t>
  </si>
  <si>
    <t>Variação anual</t>
  </si>
  <si>
    <t>Média móvel 3 anos</t>
  </si>
  <si>
    <t>Publico</t>
  </si>
  <si>
    <t>Variacao_%</t>
  </si>
  <si>
    <t>Media_movel_3</t>
  </si>
  <si>
    <t>Público observado</t>
  </si>
  <si>
    <t>Dummy pandemia</t>
  </si>
  <si>
    <t>Ajuste</t>
  </si>
  <si>
    <t>Previsão</t>
  </si>
  <si>
    <t>Lim inf 80%</t>
  </si>
  <si>
    <t>Lim sup 80%</t>
  </si>
  <si>
    <t>Valor</t>
  </si>
  <si>
    <t>Efeito estimado da pandemia</t>
  </si>
  <si>
    <t>AIC</t>
  </si>
  <si>
    <t>AICc</t>
  </si>
  <si>
    <t>Previsão 2026 (ano cheio)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</si>
</sst>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  <xf numFmtId="0" fontId="1" fillId="2" borderId="0" xfId="0" applyFont="1" applyFill="1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2" fillId="4" borderId="1" xfId="0" applyFont="1" applyFill="1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Série temporal oficial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Painel!$B$18</c:f>
              <c:strCache>
                <c:ptCount val="1"/>
                <c:pt idx="0">
                  <c:v>Público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Painel!$A$19:$A$40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Painel!$B$19:$B$40</c:f>
              <c:numCache>
                <c:formatCode>#,##0</c:formatCode>
                <c:ptCount val="22"/>
                <c:pt idx="0">
                  <c:v>26980</c:v>
                </c:pt>
                <c:pt idx="1">
                  <c:v>120000</c:v>
                </c:pt>
                <c:pt idx="2">
                  <c:v>143000</c:v>
                </c:pt>
                <c:pt idx="3">
                  <c:v>149700</c:v>
                </c:pt>
                <c:pt idx="4">
                  <c:v>144800</c:v>
                </c:pt>
                <c:pt idx="5">
                  <c:v>117162</c:v>
                </c:pt>
                <c:pt idx="6">
                  <c:v>111015</c:v>
                </c:pt>
                <c:pt idx="7">
                  <c:v>132487</c:v>
                </c:pt>
                <c:pt idx="8">
                  <c:v>129364</c:v>
                </c:pt>
                <c:pt idx="9">
                  <c:v>127787</c:v>
                </c:pt>
                <c:pt idx="10">
                  <c:v>309640</c:v>
                </c:pt>
                <c:pt idx="11">
                  <c:v>122561</c:v>
                </c:pt>
                <c:pt idx="12">
                  <c:v>119214</c:v>
                </c:pt>
                <c:pt idx="13">
                  <c:v>242154</c:v>
                </c:pt>
                <c:pt idx="14">
                  <c:v>291750</c:v>
                </c:pt>
                <c:pt idx="15">
                  <c:v>85138</c:v>
                </c:pt>
                <c:pt idx="16">
                  <c:v>145831</c:v>
                </c:pt>
                <c:pt idx="17">
                  <c:v>199650</c:v>
                </c:pt>
                <c:pt idx="18">
                  <c:v>248020</c:v>
                </c:pt>
                <c:pt idx="19">
                  <c:v>308976</c:v>
                </c:pt>
                <c:pt idx="20">
                  <c:v>298279</c:v>
                </c:pt>
                <c:pt idx="21">
                  <c:v>59743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73-4C16-8E20-24AF3B08E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Público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14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C39" sqref="C39"/>
    </sheetView>
  </sheetViews>
  <sheetFormatPr defaultRowHeight="14.5" x14ac:dyDescent="0.35"/>
  <cols>
    <col min="1" max="1" width="28" customWidth="1"/>
    <col min="2" max="2" width="18" customWidth="1"/>
    <col min="3" max="3" width="16" customWidth="1"/>
    <col min="4" max="4" width="18" customWidth="1"/>
    <col min="6" max="8" width="22" customWidth="1"/>
  </cols>
  <sheetData>
    <row r="1" spans="1:8" ht="21" x14ac:dyDescent="0.5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35">
      <c r="A3" s="14" t="s">
        <v>1</v>
      </c>
      <c r="B3" s="8"/>
      <c r="C3" s="8"/>
      <c r="D3" s="8"/>
      <c r="E3" s="8"/>
      <c r="F3" s="8"/>
      <c r="G3" s="8"/>
      <c r="H3" s="8"/>
    </row>
    <row r="4" spans="1:8" x14ac:dyDescent="0.35">
      <c r="A4" s="8"/>
      <c r="B4" s="8"/>
      <c r="C4" s="8"/>
      <c r="D4" s="8"/>
      <c r="E4" s="8"/>
      <c r="F4" s="8"/>
      <c r="G4" s="8"/>
      <c r="H4" s="8"/>
    </row>
    <row r="6" spans="1:8" x14ac:dyDescent="0.35">
      <c r="A6" s="1" t="s">
        <v>2</v>
      </c>
      <c r="B6" s="1" t="s">
        <v>3</v>
      </c>
      <c r="F6" s="11" t="s">
        <v>4</v>
      </c>
      <c r="G6" s="12"/>
      <c r="H6" s="13"/>
    </row>
    <row r="7" spans="1:8" x14ac:dyDescent="0.35">
      <c r="A7" s="2" t="s">
        <v>5</v>
      </c>
      <c r="B7" s="2">
        <v>291750</v>
      </c>
      <c r="F7" s="9" t="s">
        <v>6</v>
      </c>
      <c r="G7" s="10"/>
      <c r="H7" s="10"/>
    </row>
    <row r="8" spans="1:8" x14ac:dyDescent="0.35">
      <c r="A8" s="2" t="s">
        <v>7</v>
      </c>
      <c r="B8" s="2">
        <v>85138</v>
      </c>
      <c r="F8" s="9" t="s">
        <v>8</v>
      </c>
      <c r="G8" s="10"/>
      <c r="H8" s="10"/>
    </row>
    <row r="9" spans="1:8" x14ac:dyDescent="0.35">
      <c r="A9" s="2" t="s">
        <v>9</v>
      </c>
      <c r="B9" s="2">
        <v>308976</v>
      </c>
      <c r="F9" s="9" t="s">
        <v>10</v>
      </c>
      <c r="G9" s="10"/>
      <c r="H9" s="10"/>
    </row>
    <row r="10" spans="1:8" x14ac:dyDescent="0.35">
      <c r="A10" s="2" t="s">
        <v>11</v>
      </c>
      <c r="B10" s="2">
        <v>298279</v>
      </c>
      <c r="F10" s="9" t="s">
        <v>12</v>
      </c>
      <c r="G10" s="10"/>
      <c r="H10" s="10"/>
    </row>
    <row r="11" spans="1:8" x14ac:dyDescent="0.35">
      <c r="A11" s="2" t="s">
        <v>13</v>
      </c>
      <c r="B11" s="3">
        <v>-0.70818166238217661</v>
      </c>
      <c r="F11" s="9" t="s">
        <v>14</v>
      </c>
      <c r="G11" s="10"/>
      <c r="H11" s="10"/>
    </row>
    <row r="12" spans="1:8" x14ac:dyDescent="0.35">
      <c r="A12" s="2" t="s">
        <v>15</v>
      </c>
      <c r="B12" s="3">
        <v>5.9043701799485808E-2</v>
      </c>
      <c r="F12" s="9" t="s">
        <v>16</v>
      </c>
      <c r="G12" s="10"/>
      <c r="H12" s="10"/>
    </row>
    <row r="13" spans="1:8" x14ac:dyDescent="0.35">
      <c r="A13" s="2" t="s">
        <v>17</v>
      </c>
      <c r="B13" s="3">
        <v>-3.4620811972450927E-2</v>
      </c>
      <c r="F13" s="9" t="s">
        <v>18</v>
      </c>
      <c r="G13" s="10"/>
      <c r="H13" s="10"/>
    </row>
    <row r="14" spans="1:8" x14ac:dyDescent="0.35">
      <c r="A14" s="2" t="s">
        <v>19</v>
      </c>
      <c r="B14" s="4">
        <v>225377.71428571429</v>
      </c>
    </row>
    <row r="15" spans="1:8" x14ac:dyDescent="0.35">
      <c r="A15" s="2" t="s">
        <v>20</v>
      </c>
      <c r="B15" s="4">
        <v>248020</v>
      </c>
    </row>
    <row r="18" spans="1:4" x14ac:dyDescent="0.35">
      <c r="A18" s="1" t="s">
        <v>21</v>
      </c>
      <c r="B18" s="1" t="s">
        <v>22</v>
      </c>
      <c r="C18" s="1" t="s">
        <v>23</v>
      </c>
      <c r="D18" s="1" t="s">
        <v>24</v>
      </c>
    </row>
    <row r="19" spans="1:4" x14ac:dyDescent="0.35">
      <c r="A19" s="2">
        <v>2005</v>
      </c>
      <c r="B19" s="5">
        <v>26980</v>
      </c>
      <c r="C19" s="3"/>
      <c r="D19" s="4"/>
    </row>
    <row r="20" spans="1:4" x14ac:dyDescent="0.35">
      <c r="A20" s="2">
        <v>2006</v>
      </c>
      <c r="B20" s="5">
        <v>120000</v>
      </c>
      <c r="C20" s="3">
        <v>3.4477390659747962</v>
      </c>
      <c r="D20" s="4"/>
    </row>
    <row r="21" spans="1:4" x14ac:dyDescent="0.35">
      <c r="A21" s="2">
        <v>2007</v>
      </c>
      <c r="B21" s="5">
        <v>143000</v>
      </c>
      <c r="C21" s="3">
        <v>0.19166666666666671</v>
      </c>
      <c r="D21" s="4">
        <v>96660</v>
      </c>
    </row>
    <row r="22" spans="1:4" x14ac:dyDescent="0.35">
      <c r="A22" s="2">
        <v>2008</v>
      </c>
      <c r="B22" s="5">
        <v>149700</v>
      </c>
      <c r="C22" s="3">
        <v>4.6853146853146788E-2</v>
      </c>
      <c r="D22" s="4">
        <v>137566.66666666669</v>
      </c>
    </row>
    <row r="23" spans="1:4" x14ac:dyDescent="0.35">
      <c r="A23" s="2">
        <v>2009</v>
      </c>
      <c r="B23" s="5">
        <v>144800</v>
      </c>
      <c r="C23" s="3">
        <v>-3.2732130928523673E-2</v>
      </c>
      <c r="D23" s="4">
        <v>145833.33333333331</v>
      </c>
    </row>
    <row r="24" spans="1:4" x14ac:dyDescent="0.35">
      <c r="A24" s="2">
        <v>2010</v>
      </c>
      <c r="B24" s="5">
        <v>117162</v>
      </c>
      <c r="C24" s="3">
        <v>-0.19087016574585641</v>
      </c>
      <c r="D24" s="4">
        <v>137220.66666666669</v>
      </c>
    </row>
    <row r="25" spans="1:4" x14ac:dyDescent="0.35">
      <c r="A25" s="2">
        <v>2011</v>
      </c>
      <c r="B25" s="5">
        <v>111015</v>
      </c>
      <c r="C25" s="3">
        <v>-5.2465816561683809E-2</v>
      </c>
      <c r="D25" s="4">
        <v>124325.6666666667</v>
      </c>
    </row>
    <row r="26" spans="1:4" x14ac:dyDescent="0.35">
      <c r="A26" s="2">
        <v>2012</v>
      </c>
      <c r="B26" s="5">
        <v>132487</v>
      </c>
      <c r="C26" s="3">
        <v>0.19341530423816611</v>
      </c>
      <c r="D26" s="4">
        <v>120221.3333333333</v>
      </c>
    </row>
    <row r="27" spans="1:4" x14ac:dyDescent="0.35">
      <c r="A27" s="2">
        <v>2013</v>
      </c>
      <c r="B27" s="5">
        <v>129364</v>
      </c>
      <c r="C27" s="3">
        <v>-2.357212405745468E-2</v>
      </c>
      <c r="D27" s="4">
        <v>124288.6666666667</v>
      </c>
    </row>
    <row r="28" spans="1:4" x14ac:dyDescent="0.35">
      <c r="A28" s="2">
        <v>2014</v>
      </c>
      <c r="B28" s="5">
        <v>127787</v>
      </c>
      <c r="C28" s="3">
        <v>-1.2190408459849761E-2</v>
      </c>
      <c r="D28" s="4">
        <v>129879.3333333333</v>
      </c>
    </row>
    <row r="29" spans="1:4" x14ac:dyDescent="0.35">
      <c r="A29" s="2">
        <v>2015</v>
      </c>
      <c r="B29" s="5">
        <v>309640</v>
      </c>
      <c r="C29" s="3">
        <v>1.4230946809925891</v>
      </c>
      <c r="D29" s="4">
        <v>188930.33333333331</v>
      </c>
    </row>
    <row r="30" spans="1:4" x14ac:dyDescent="0.35">
      <c r="A30" s="2">
        <v>2016</v>
      </c>
      <c r="B30" s="5">
        <v>122561</v>
      </c>
      <c r="C30" s="3">
        <v>-0.6041822761917065</v>
      </c>
      <c r="D30" s="4">
        <v>186662.66666666669</v>
      </c>
    </row>
    <row r="31" spans="1:4" x14ac:dyDescent="0.35">
      <c r="A31" s="2">
        <v>2017</v>
      </c>
      <c r="B31" s="5">
        <v>119214</v>
      </c>
      <c r="C31" s="3">
        <v>-2.7308850286795971E-2</v>
      </c>
      <c r="D31" s="4">
        <v>183805</v>
      </c>
    </row>
    <row r="32" spans="1:4" x14ac:dyDescent="0.35">
      <c r="A32" s="2">
        <v>2018</v>
      </c>
      <c r="B32" s="5">
        <v>242154</v>
      </c>
      <c r="C32" s="3">
        <v>1.031254718405556</v>
      </c>
      <c r="D32" s="4">
        <v>161309.66666666669</v>
      </c>
    </row>
    <row r="33" spans="1:4" x14ac:dyDescent="0.35">
      <c r="A33" s="2">
        <v>2019</v>
      </c>
      <c r="B33" s="5">
        <v>291750</v>
      </c>
      <c r="C33" s="3">
        <v>0.2048118139696227</v>
      </c>
      <c r="D33" s="4">
        <v>217706</v>
      </c>
    </row>
    <row r="34" spans="1:4" x14ac:dyDescent="0.35">
      <c r="A34" s="2">
        <v>2020</v>
      </c>
      <c r="B34" s="5">
        <v>85138</v>
      </c>
      <c r="C34" s="3">
        <v>-0.70818166238217661</v>
      </c>
      <c r="D34" s="4">
        <v>206347.33333333331</v>
      </c>
    </row>
    <row r="35" spans="1:4" x14ac:dyDescent="0.35">
      <c r="A35" s="2">
        <v>2021</v>
      </c>
      <c r="B35" s="5">
        <v>145831</v>
      </c>
      <c r="C35" s="3">
        <v>0.71287791585426019</v>
      </c>
      <c r="D35" s="4">
        <v>174239.66666666669</v>
      </c>
    </row>
    <row r="36" spans="1:4" x14ac:dyDescent="0.35">
      <c r="A36" s="2">
        <v>2022</v>
      </c>
      <c r="B36" s="5">
        <v>199650</v>
      </c>
      <c r="C36" s="3">
        <v>0.36905047623619119</v>
      </c>
      <c r="D36" s="4">
        <v>143539.66666666669</v>
      </c>
    </row>
    <row r="37" spans="1:4" x14ac:dyDescent="0.35">
      <c r="A37" s="2">
        <v>2023</v>
      </c>
      <c r="B37" s="5">
        <v>248020</v>
      </c>
      <c r="C37" s="3">
        <v>0.24227397946406201</v>
      </c>
      <c r="D37" s="4">
        <v>197833.66666666669</v>
      </c>
    </row>
    <row r="38" spans="1:4" x14ac:dyDescent="0.35">
      <c r="A38" s="2">
        <v>2024</v>
      </c>
      <c r="B38" s="5">
        <v>308976</v>
      </c>
      <c r="C38" s="3">
        <v>0.24577050237884029</v>
      </c>
      <c r="D38" s="4">
        <v>252215.33333333331</v>
      </c>
    </row>
    <row r="39" spans="1:4" x14ac:dyDescent="0.35">
      <c r="A39" s="2">
        <v>2025</v>
      </c>
      <c r="B39" s="5">
        <v>298279</v>
      </c>
      <c r="C39" s="3">
        <v>-3.4620811972450927E-2</v>
      </c>
      <c r="D39" s="4">
        <v>285091.66666666669</v>
      </c>
    </row>
    <row r="40" spans="1:4" x14ac:dyDescent="0.35">
      <c r="A40" s="2">
        <v>2026</v>
      </c>
      <c r="B40" s="5">
        <v>59743</v>
      </c>
      <c r="C40" s="3">
        <v>-0.79970765625471463</v>
      </c>
      <c r="D40" s="4">
        <v>222332.66666666669</v>
      </c>
    </row>
  </sheetData>
  <mergeCells count="10">
    <mergeCell ref="A1:H1"/>
    <mergeCell ref="F10:H10"/>
    <mergeCell ref="F6:H6"/>
    <mergeCell ref="A3:H4"/>
    <mergeCell ref="F13:H13"/>
    <mergeCell ref="F8:H8"/>
    <mergeCell ref="F9:H9"/>
    <mergeCell ref="F7:H7"/>
    <mergeCell ref="F12:H12"/>
    <mergeCell ref="F11:H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4.5" x14ac:dyDescent="0.35"/>
  <cols>
    <col min="1" max="1" width="10" customWidth="1"/>
    <col min="2" max="2" width="15" customWidth="1"/>
    <col min="3" max="3" width="14" customWidth="1"/>
    <col min="4" max="4" width="16" customWidth="1"/>
  </cols>
  <sheetData>
    <row r="1" spans="1:4" x14ac:dyDescent="0.35">
      <c r="A1" s="1" t="s">
        <v>21</v>
      </c>
      <c r="B1" s="1" t="s">
        <v>25</v>
      </c>
      <c r="C1" s="1" t="s">
        <v>26</v>
      </c>
      <c r="D1" s="1" t="s">
        <v>27</v>
      </c>
    </row>
    <row r="2" spans="1:4" x14ac:dyDescent="0.35">
      <c r="A2" s="2">
        <v>2005</v>
      </c>
      <c r="B2" s="5">
        <v>26980</v>
      </c>
      <c r="C2" s="3"/>
      <c r="D2" s="4"/>
    </row>
    <row r="3" spans="1:4" x14ac:dyDescent="0.35">
      <c r="A3" s="2">
        <v>2006</v>
      </c>
      <c r="B3" s="5">
        <v>120000</v>
      </c>
      <c r="C3" s="3">
        <v>3.4477390659747962</v>
      </c>
      <c r="D3" s="4"/>
    </row>
    <row r="4" spans="1:4" x14ac:dyDescent="0.35">
      <c r="A4" s="2">
        <v>2007</v>
      </c>
      <c r="B4" s="5">
        <v>143000</v>
      </c>
      <c r="C4" s="3">
        <v>0.19166666666666671</v>
      </c>
      <c r="D4" s="4">
        <v>96660</v>
      </c>
    </row>
    <row r="5" spans="1:4" x14ac:dyDescent="0.35">
      <c r="A5" s="2">
        <v>2008</v>
      </c>
      <c r="B5" s="5">
        <v>149700</v>
      </c>
      <c r="C5" s="3">
        <v>4.6853146853146788E-2</v>
      </c>
      <c r="D5" s="4">
        <v>137566.66666666669</v>
      </c>
    </row>
    <row r="6" spans="1:4" x14ac:dyDescent="0.35">
      <c r="A6" s="2">
        <v>2009</v>
      </c>
      <c r="B6" s="5">
        <v>144800</v>
      </c>
      <c r="C6" s="3">
        <v>-3.2732130928523673E-2</v>
      </c>
      <c r="D6" s="4">
        <v>145833.33333333331</v>
      </c>
    </row>
    <row r="7" spans="1:4" x14ac:dyDescent="0.35">
      <c r="A7" s="2">
        <v>2010</v>
      </c>
      <c r="B7" s="5">
        <v>117162</v>
      </c>
      <c r="C7" s="3">
        <v>-0.19087016574585641</v>
      </c>
      <c r="D7" s="4">
        <v>137220.66666666669</v>
      </c>
    </row>
    <row r="8" spans="1:4" x14ac:dyDescent="0.35">
      <c r="A8" s="2">
        <v>2011</v>
      </c>
      <c r="B8" s="5">
        <v>111015</v>
      </c>
      <c r="C8" s="3">
        <v>-5.2465816561683809E-2</v>
      </c>
      <c r="D8" s="4">
        <v>124325.6666666667</v>
      </c>
    </row>
    <row r="9" spans="1:4" x14ac:dyDescent="0.35">
      <c r="A9" s="2">
        <v>2012</v>
      </c>
      <c r="B9" s="5">
        <v>132487</v>
      </c>
      <c r="C9" s="3">
        <v>0.19341530423816611</v>
      </c>
      <c r="D9" s="4">
        <v>120221.3333333333</v>
      </c>
    </row>
    <row r="10" spans="1:4" x14ac:dyDescent="0.35">
      <c r="A10" s="2">
        <v>2013</v>
      </c>
      <c r="B10" s="5">
        <v>129364</v>
      </c>
      <c r="C10" s="3">
        <v>-2.357212405745468E-2</v>
      </c>
      <c r="D10" s="4">
        <v>124288.6666666667</v>
      </c>
    </row>
    <row r="11" spans="1:4" x14ac:dyDescent="0.35">
      <c r="A11" s="2">
        <v>2014</v>
      </c>
      <c r="B11" s="5">
        <v>127787</v>
      </c>
      <c r="C11" s="3">
        <v>-1.2190408459849761E-2</v>
      </c>
      <c r="D11" s="4">
        <v>129879.3333333333</v>
      </c>
    </row>
    <row r="12" spans="1:4" x14ac:dyDescent="0.35">
      <c r="A12" s="2">
        <v>2015</v>
      </c>
      <c r="B12" s="5">
        <v>309640</v>
      </c>
      <c r="C12" s="3">
        <v>1.4230946809925891</v>
      </c>
      <c r="D12" s="4">
        <v>188930.33333333331</v>
      </c>
    </row>
    <row r="13" spans="1:4" x14ac:dyDescent="0.35">
      <c r="A13" s="2">
        <v>2016</v>
      </c>
      <c r="B13" s="5">
        <v>122561</v>
      </c>
      <c r="C13" s="3">
        <v>-0.6041822761917065</v>
      </c>
      <c r="D13" s="4">
        <v>186662.66666666669</v>
      </c>
    </row>
    <row r="14" spans="1:4" x14ac:dyDescent="0.35">
      <c r="A14" s="2">
        <v>2017</v>
      </c>
      <c r="B14" s="5">
        <v>119214</v>
      </c>
      <c r="C14" s="3">
        <v>-2.7308850286795971E-2</v>
      </c>
      <c r="D14" s="4">
        <v>183805</v>
      </c>
    </row>
    <row r="15" spans="1:4" x14ac:dyDescent="0.35">
      <c r="A15" s="2">
        <v>2018</v>
      </c>
      <c r="B15" s="5">
        <v>242154</v>
      </c>
      <c r="C15" s="3">
        <v>1.031254718405556</v>
      </c>
      <c r="D15" s="4">
        <v>161309.66666666669</v>
      </c>
    </row>
    <row r="16" spans="1:4" x14ac:dyDescent="0.35">
      <c r="A16" s="2">
        <v>2019</v>
      </c>
      <c r="B16" s="5">
        <v>291750</v>
      </c>
      <c r="C16" s="3">
        <v>0.2048118139696227</v>
      </c>
      <c r="D16" s="4">
        <v>217706</v>
      </c>
    </row>
    <row r="17" spans="1:4" x14ac:dyDescent="0.35">
      <c r="A17" s="2">
        <v>2020</v>
      </c>
      <c r="B17" s="5">
        <v>85138</v>
      </c>
      <c r="C17" s="3">
        <v>-0.70818166238217661</v>
      </c>
      <c r="D17" s="4">
        <v>206347.33333333331</v>
      </c>
    </row>
    <row r="18" spans="1:4" x14ac:dyDescent="0.35">
      <c r="A18" s="2">
        <v>2021</v>
      </c>
      <c r="B18" s="5">
        <v>145831</v>
      </c>
      <c r="C18" s="3">
        <v>0.71287791585426019</v>
      </c>
      <c r="D18" s="4">
        <v>174239.66666666669</v>
      </c>
    </row>
    <row r="19" spans="1:4" x14ac:dyDescent="0.35">
      <c r="A19" s="2">
        <v>2022</v>
      </c>
      <c r="B19" s="5">
        <v>199650</v>
      </c>
      <c r="C19" s="3">
        <v>0.36905047623619119</v>
      </c>
      <c r="D19" s="4">
        <v>143539.66666666669</v>
      </c>
    </row>
    <row r="20" spans="1:4" x14ac:dyDescent="0.35">
      <c r="A20" s="2">
        <v>2023</v>
      </c>
      <c r="B20" s="5">
        <v>248020</v>
      </c>
      <c r="C20" s="3">
        <v>0.24227397946406201</v>
      </c>
      <c r="D20" s="4">
        <v>197833.66666666669</v>
      </c>
    </row>
    <row r="21" spans="1:4" x14ac:dyDescent="0.35">
      <c r="A21" s="2">
        <v>2024</v>
      </c>
      <c r="B21" s="5">
        <v>308976</v>
      </c>
      <c r="C21" s="3">
        <v>0.24577050237884029</v>
      </c>
      <c r="D21" s="4">
        <v>252215.33333333331</v>
      </c>
    </row>
    <row r="22" spans="1:4" x14ac:dyDescent="0.35">
      <c r="A22" s="2">
        <v>2025</v>
      </c>
      <c r="B22" s="5">
        <v>298279</v>
      </c>
      <c r="C22" s="3">
        <v>-3.4620811972450927E-2</v>
      </c>
      <c r="D22" s="4">
        <v>285091.66666666669</v>
      </c>
    </row>
    <row r="23" spans="1:4" x14ac:dyDescent="0.35">
      <c r="A23" s="2">
        <v>2026</v>
      </c>
      <c r="B23" s="5">
        <v>59743</v>
      </c>
      <c r="C23" s="3">
        <v>-0.79970765625471463</v>
      </c>
      <c r="D23" s="4">
        <v>222332.66666666669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opLeftCell="A9" workbookViewId="0">
      <selection activeCell="E18" sqref="E18"/>
    </sheetView>
  </sheetViews>
  <sheetFormatPr defaultRowHeight="14.5" x14ac:dyDescent="0.35"/>
  <cols>
    <col min="1" max="1" width="12" customWidth="1"/>
    <col min="2" max="2" width="18" customWidth="1"/>
    <col min="3" max="7" width="15" customWidth="1"/>
  </cols>
  <sheetData>
    <row r="1" spans="1:7" x14ac:dyDescent="0.35">
      <c r="A1" s="1" t="s">
        <v>21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s="2">
        <v>2010</v>
      </c>
      <c r="B2" s="5">
        <v>117162</v>
      </c>
      <c r="C2" s="2">
        <v>0</v>
      </c>
      <c r="D2" s="5"/>
      <c r="E2" s="2"/>
      <c r="F2" s="2"/>
      <c r="G2" s="2"/>
    </row>
    <row r="3" spans="1:7" x14ac:dyDescent="0.35">
      <c r="A3" s="2">
        <v>2011</v>
      </c>
      <c r="B3" s="5">
        <v>111015</v>
      </c>
      <c r="C3" s="2">
        <v>0</v>
      </c>
      <c r="D3" s="5">
        <v>164835.99028428629</v>
      </c>
      <c r="E3" s="2"/>
      <c r="F3" s="2"/>
      <c r="G3" s="2"/>
    </row>
    <row r="4" spans="1:7" x14ac:dyDescent="0.35">
      <c r="A4" s="2">
        <v>2012</v>
      </c>
      <c r="B4" s="5">
        <v>132487</v>
      </c>
      <c r="C4" s="2">
        <v>0</v>
      </c>
      <c r="D4" s="5">
        <v>161786.18981106501</v>
      </c>
      <c r="E4" s="2"/>
      <c r="F4" s="2"/>
      <c r="G4" s="2"/>
    </row>
    <row r="5" spans="1:7" x14ac:dyDescent="0.35">
      <c r="A5" s="2">
        <v>2013</v>
      </c>
      <c r="B5" s="5">
        <v>129364</v>
      </c>
      <c r="C5" s="2">
        <v>0</v>
      </c>
      <c r="D5" s="5">
        <v>172009.3712737821</v>
      </c>
      <c r="E5" s="2"/>
      <c r="F5" s="2"/>
      <c r="G5" s="2"/>
    </row>
    <row r="6" spans="1:7" x14ac:dyDescent="0.35">
      <c r="A6" s="2">
        <v>2014</v>
      </c>
      <c r="B6" s="5">
        <v>127787</v>
      </c>
      <c r="C6" s="2">
        <v>0</v>
      </c>
      <c r="D6" s="5">
        <v>170593.3537931765</v>
      </c>
      <c r="E6" s="2"/>
      <c r="F6" s="2"/>
      <c r="G6" s="2"/>
    </row>
    <row r="7" spans="1:7" x14ac:dyDescent="0.35">
      <c r="A7" s="2">
        <v>2015</v>
      </c>
      <c r="B7" s="5">
        <v>309640</v>
      </c>
      <c r="C7" s="2">
        <v>0</v>
      </c>
      <c r="D7" s="5">
        <v>169869.81746672819</v>
      </c>
      <c r="E7" s="2"/>
      <c r="F7" s="2"/>
      <c r="G7" s="2"/>
    </row>
    <row r="8" spans="1:7" x14ac:dyDescent="0.35">
      <c r="A8" s="2">
        <v>2016</v>
      </c>
      <c r="B8" s="5">
        <v>122561</v>
      </c>
      <c r="C8" s="2">
        <v>0</v>
      </c>
      <c r="D8" s="5">
        <v>230840.72271672421</v>
      </c>
      <c r="E8" s="2"/>
      <c r="F8" s="2"/>
      <c r="G8" s="2"/>
    </row>
    <row r="9" spans="1:7" x14ac:dyDescent="0.35">
      <c r="A9" s="2">
        <v>2017</v>
      </c>
      <c r="B9" s="5">
        <v>119214</v>
      </c>
      <c r="C9" s="2">
        <v>0</v>
      </c>
      <c r="D9" s="5">
        <v>167429.54538305209</v>
      </c>
      <c r="E9" s="2"/>
      <c r="F9" s="2"/>
      <c r="G9" s="2"/>
    </row>
    <row r="10" spans="1:7" x14ac:dyDescent="0.35">
      <c r="A10" s="2">
        <v>2018</v>
      </c>
      <c r="B10" s="5">
        <v>242154</v>
      </c>
      <c r="C10" s="2">
        <v>0</v>
      </c>
      <c r="D10" s="5">
        <v>165830.74502768231</v>
      </c>
      <c r="E10" s="2"/>
      <c r="F10" s="2"/>
      <c r="G10" s="2"/>
    </row>
    <row r="11" spans="1:7" x14ac:dyDescent="0.35">
      <c r="A11" s="2">
        <v>2019</v>
      </c>
      <c r="B11" s="5">
        <v>291750</v>
      </c>
      <c r="C11" s="2">
        <v>0</v>
      </c>
      <c r="D11" s="5">
        <v>211989.77502979251</v>
      </c>
      <c r="E11" s="2"/>
      <c r="F11" s="2"/>
      <c r="G11" s="2"/>
    </row>
    <row r="12" spans="1:7" x14ac:dyDescent="0.35">
      <c r="A12" s="2">
        <v>2020</v>
      </c>
      <c r="B12" s="5">
        <v>85138</v>
      </c>
      <c r="C12" s="2">
        <v>1</v>
      </c>
      <c r="D12" s="5">
        <v>116609.44960372271</v>
      </c>
      <c r="E12" s="2"/>
      <c r="F12" s="2"/>
      <c r="G12" s="2"/>
    </row>
    <row r="13" spans="1:7" x14ac:dyDescent="0.35">
      <c r="A13" s="2">
        <v>2021</v>
      </c>
      <c r="B13" s="5">
        <v>145831</v>
      </c>
      <c r="C13" s="2">
        <v>1</v>
      </c>
      <c r="D13" s="5">
        <v>95730.142178347625</v>
      </c>
      <c r="E13" s="2"/>
      <c r="F13" s="2"/>
      <c r="G13" s="2"/>
    </row>
    <row r="14" spans="1:7" x14ac:dyDescent="0.35">
      <c r="A14" s="2">
        <v>2022</v>
      </c>
      <c r="B14" s="5">
        <v>199650</v>
      </c>
      <c r="C14" s="2">
        <v>0</v>
      </c>
      <c r="D14" s="5">
        <v>223699.1308459088</v>
      </c>
      <c r="E14" s="2"/>
      <c r="F14" s="2"/>
      <c r="G14" s="2"/>
    </row>
    <row r="15" spans="1:7" x14ac:dyDescent="0.35">
      <c r="A15" s="2">
        <v>2023</v>
      </c>
      <c r="B15" s="5">
        <v>248020</v>
      </c>
      <c r="C15" s="2">
        <v>0</v>
      </c>
      <c r="D15" s="5">
        <v>198274.96766890629</v>
      </c>
      <c r="E15" s="2"/>
      <c r="F15" s="2"/>
      <c r="G15" s="2"/>
    </row>
    <row r="16" spans="1:7" x14ac:dyDescent="0.35">
      <c r="A16" s="2">
        <v>2024</v>
      </c>
      <c r="B16" s="5">
        <v>308976</v>
      </c>
      <c r="C16" s="2">
        <v>0</v>
      </c>
      <c r="D16" s="5">
        <v>213755.41321670631</v>
      </c>
      <c r="E16" s="2"/>
      <c r="F16" s="2"/>
      <c r="G16" s="2"/>
    </row>
    <row r="17" spans="1:7" x14ac:dyDescent="0.35">
      <c r="A17" s="2">
        <v>2025</v>
      </c>
      <c r="B17" s="5">
        <v>298279</v>
      </c>
      <c r="C17" s="2">
        <v>0</v>
      </c>
      <c r="D17" s="5">
        <v>230669.06239381179</v>
      </c>
      <c r="E17" s="2"/>
      <c r="F17" s="2"/>
      <c r="G17" s="2"/>
    </row>
    <row r="18" spans="1:7" x14ac:dyDescent="0.35">
      <c r="A18" s="2">
        <v>2026</v>
      </c>
      <c r="B18" s="2">
        <v>59743</v>
      </c>
      <c r="C18" s="2">
        <v>0</v>
      </c>
      <c r="D18" s="2"/>
      <c r="E18" s="5">
        <v>227869.76860111131</v>
      </c>
      <c r="F18" s="5">
        <v>142317.31865492449</v>
      </c>
      <c r="G18" s="5">
        <v>364851.1083055549</v>
      </c>
    </row>
    <row r="19" spans="1:7" x14ac:dyDescent="0.35">
      <c r="A19" s="2">
        <v>2027</v>
      </c>
      <c r="B19" s="2"/>
      <c r="C19" s="2">
        <v>0</v>
      </c>
      <c r="D19" s="2"/>
      <c r="E19" s="5">
        <v>207570.0970716681</v>
      </c>
      <c r="F19" s="5">
        <v>126127.39779673731</v>
      </c>
      <c r="G19" s="5">
        <v>341601.79271895101</v>
      </c>
    </row>
    <row r="20" spans="1:7" x14ac:dyDescent="0.35">
      <c r="A20" s="2">
        <v>2028</v>
      </c>
      <c r="B20" s="2"/>
      <c r="C20" s="2">
        <v>0</v>
      </c>
      <c r="D20" s="2"/>
      <c r="E20" s="5">
        <v>200966.0474819314</v>
      </c>
      <c r="F20" s="5">
        <v>121724.80867021679</v>
      </c>
      <c r="G20" s="5">
        <v>331792.28360858979</v>
      </c>
    </row>
    <row r="23" spans="1:7" x14ac:dyDescent="0.35">
      <c r="A23" s="1" t="s">
        <v>2</v>
      </c>
      <c r="B23" s="1" t="s">
        <v>34</v>
      </c>
    </row>
    <row r="24" spans="1:7" x14ac:dyDescent="0.35">
      <c r="A24" s="2" t="s">
        <v>35</v>
      </c>
      <c r="B24" s="3">
        <v>-0.48432292548845401</v>
      </c>
    </row>
    <row r="25" spans="1:7" x14ac:dyDescent="0.35">
      <c r="A25" s="2" t="s">
        <v>36</v>
      </c>
      <c r="B25" s="6">
        <v>20.521902604324591</v>
      </c>
    </row>
    <row r="26" spans="1:7" x14ac:dyDescent="0.35">
      <c r="A26" s="2" t="s">
        <v>37</v>
      </c>
      <c r="B26" s="6">
        <v>24.158266240688231</v>
      </c>
    </row>
    <row r="27" spans="1:7" x14ac:dyDescent="0.35">
      <c r="A27" s="2" t="s">
        <v>38</v>
      </c>
      <c r="B27" s="5">
        <v>227869.76860111131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</vt:lpstr>
      <vt:lpstr>Serie_Oficial</vt:lpstr>
      <vt:lpstr>SARIMA_Oficial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Rafaella Nogueira Antunes</cp:lastModifiedBy>
  <dcterms:created xsi:type="dcterms:W3CDTF">2026-07-30T12:05:00Z</dcterms:created>
  <dcterms:modified xsi:type="dcterms:W3CDTF">2026-07-30T12:36:05Z</dcterms:modified>
</cp:coreProperties>
</file>